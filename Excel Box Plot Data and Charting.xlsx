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NobukhosiGumbo\Downloads\"/>
    </mc:Choice>
  </mc:AlternateContent>
  <xr:revisionPtr revIDLastSave="0" documentId="13_ncr:1_{7EB4BEC9-7D6D-4618-95EA-C78816DD635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cel Box Plot Data and Cha (2)" sheetId="2" r:id="rId1"/>
    <sheet name="Excel Box Plot Data and Chartin" sheetId="1" r:id="rId2"/>
  </sheets>
  <definedNames>
    <definedName name="_xlchart.v1.0" hidden="1">'Excel Box Plot Data and Chartin'!$A$1</definedName>
    <definedName name="_xlchart.v1.1" hidden="1">'Excel Box Plot Data and Chartin'!$A$2:$A$5</definedName>
    <definedName name="_xlchart.v1.10" hidden="1">'Excel Box Plot Data and Chartin'!$D$1</definedName>
    <definedName name="_xlchart.v1.11" hidden="1">'Excel Box Plot Data and Chartin'!$D$2:$D$49</definedName>
    <definedName name="_xlchart.v1.2" hidden="1">'Excel Box Plot Data and Chartin'!$D$1</definedName>
    <definedName name="_xlchart.v1.3" hidden="1">'Excel Box Plot Data and Chartin'!$D$2:$D$5</definedName>
    <definedName name="_xlchart.v1.4" hidden="1">'Excel Box Plot Data and Chartin'!$A$1</definedName>
    <definedName name="_xlchart.v1.5" hidden="1">'Excel Box Plot Data and Chartin'!$A$2:$A$5</definedName>
    <definedName name="_xlchart.v1.6" hidden="1">'Excel Box Plot Data and Chartin'!$E$1</definedName>
    <definedName name="_xlchart.v1.7" hidden="1">'Excel Box Plot Data and Chartin'!$E$2:$E$5</definedName>
    <definedName name="_xlchart.v1.8" hidden="1">'Excel Box Plot Data and Chartin'!$A$1</definedName>
    <definedName name="_xlchart.v1.9" hidden="1">'Excel Box Plot Data and Chartin'!$A$2:$A$49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2" l="1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L25" i="2"/>
  <c r="E25" i="2"/>
  <c r="L24" i="2"/>
  <c r="E24" i="2"/>
  <c r="L23" i="2"/>
  <c r="E23" i="2"/>
  <c r="L22" i="2"/>
  <c r="E22" i="2"/>
  <c r="L21" i="2"/>
  <c r="E21" i="2"/>
  <c r="L20" i="2"/>
  <c r="E20" i="2"/>
  <c r="L19" i="2"/>
  <c r="E19" i="2"/>
  <c r="L18" i="2"/>
  <c r="E18" i="2"/>
  <c r="L17" i="2"/>
  <c r="E17" i="2"/>
  <c r="L16" i="2"/>
  <c r="E16" i="2"/>
  <c r="L15" i="2"/>
  <c r="E15" i="2"/>
  <c r="L14" i="2"/>
  <c r="E14" i="2"/>
  <c r="L13" i="2"/>
  <c r="E13" i="2"/>
  <c r="L12" i="2"/>
  <c r="E12" i="2"/>
  <c r="L11" i="2"/>
  <c r="E11" i="2"/>
  <c r="L10" i="2"/>
  <c r="E10" i="2"/>
  <c r="L9" i="2"/>
  <c r="E9" i="2"/>
  <c r="L8" i="2"/>
  <c r="E8" i="2"/>
  <c r="L7" i="2"/>
  <c r="E7" i="2"/>
  <c r="L5" i="2" s="1"/>
  <c r="L6" i="2"/>
  <c r="E6" i="2"/>
  <c r="E5" i="2"/>
  <c r="L4" i="2"/>
  <c r="E4" i="2"/>
  <c r="E3" i="2"/>
  <c r="L3" i="2" s="1"/>
  <c r="L2" i="2"/>
  <c r="E2" i="2"/>
  <c r="D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10" i="1"/>
  <c r="D11" i="1"/>
  <c r="D12" i="1"/>
  <c r="D13" i="1"/>
  <c r="D6" i="1"/>
  <c r="D7" i="1"/>
  <c r="D8" i="1"/>
  <c r="D9" i="1"/>
  <c r="D3" i="1"/>
  <c r="D5" i="1"/>
  <c r="D4" i="1"/>
  <c r="L26" i="2" l="1"/>
  <c r="L27" i="2"/>
</calcChain>
</file>

<file path=xl/sharedStrings.xml><?xml version="1.0" encoding="utf-8"?>
<sst xmlns="http://schemas.openxmlformats.org/spreadsheetml/2006/main" count="133" uniqueCount="11">
  <si>
    <t>Box ID</t>
  </si>
  <si>
    <t>Energy Scenario</t>
  </si>
  <si>
    <t>Measured Depth (D)</t>
  </si>
  <si>
    <t>S1 (Min)</t>
  </si>
  <si>
    <t>S2 (Max)</t>
  </si>
  <si>
    <t>S3 (H/L)</t>
  </si>
  <si>
    <t>S4 (L/H)</t>
  </si>
  <si>
    <t>Energy</t>
  </si>
  <si>
    <t xml:space="preserve">n </t>
  </si>
  <si>
    <r>
      <t>D</t>
    </r>
    <r>
      <rPr>
        <b/>
        <vertAlign val="subscript"/>
        <sz val="10"/>
        <color theme="1"/>
        <rFont val="Arial"/>
        <family val="2"/>
        <scheme val="minor"/>
      </rPr>
      <t xml:space="preserve">measured </t>
    </r>
    <r>
      <rPr>
        <b/>
        <sz val="10"/>
        <color theme="1"/>
        <rFont val="Arial"/>
        <family val="2"/>
        <scheme val="minor"/>
      </rPr>
      <t>(m)</t>
    </r>
  </si>
  <si>
    <t>D(measured)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</si>
</sst>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vertAlign val="subscript"/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" fontId="0" fillId="0" borderId="0" xfId="0" applyNumberFormat="1"/>
    <xf numFmtId="2" fontId="4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10DF-578E-45BF-82A7-13F8E00594F5}">
  <sheetPr>
    <outlinePr summaryBelow="0" summaryRight="0"/>
  </sheetPr>
  <dimension ref="A1:L49"/>
  <sheetViews>
    <sheetView workbookViewId="0">
      <selection activeCell="I1" sqref="I1:I1048576"/>
    </sheetView>
  </sheetViews>
  <sheetFormatPr defaultColWidth="12.6640625" defaultRowHeight="15.75" customHeight="1" x14ac:dyDescent="0.25"/>
  <cols>
    <col min="2" max="2" width="14.88671875" bestFit="1" customWidth="1"/>
    <col min="3" max="3" width="14.88671875" customWidth="1"/>
    <col min="4" max="4" width="17.77734375" bestFit="1" customWidth="1"/>
    <col min="5" max="5" width="28" customWidth="1"/>
    <col min="10" max="10" width="15.5546875" bestFit="1" customWidth="1"/>
    <col min="11" max="11" width="11.88671875" bestFit="1" customWidth="1"/>
    <col min="12" max="12" width="11.33203125" customWidth="1"/>
  </cols>
  <sheetData>
    <row r="1" spans="1:12" ht="15.6" x14ac:dyDescent="0.35">
      <c r="A1" s="2" t="s">
        <v>0</v>
      </c>
      <c r="B1" s="2" t="s">
        <v>1</v>
      </c>
      <c r="C1" s="2" t="s">
        <v>7</v>
      </c>
      <c r="D1" s="2" t="s">
        <v>2</v>
      </c>
      <c r="E1" s="2" t="s">
        <v>8</v>
      </c>
      <c r="F1" s="1"/>
      <c r="G1" s="1"/>
      <c r="I1" s="9" t="s">
        <v>0</v>
      </c>
      <c r="J1" s="9" t="s">
        <v>1</v>
      </c>
      <c r="K1" s="9" t="s">
        <v>9</v>
      </c>
      <c r="L1" s="9" t="s">
        <v>8</v>
      </c>
    </row>
    <row r="2" spans="1:12" ht="13.2" x14ac:dyDescent="0.25">
      <c r="A2" s="5">
        <v>1</v>
      </c>
      <c r="B2" s="2" t="s">
        <v>3</v>
      </c>
      <c r="C2" s="2">
        <v>13.42</v>
      </c>
      <c r="D2" s="2">
        <v>5.3</v>
      </c>
      <c r="E2" s="3">
        <f>D2 / SQRT(13.42)</f>
        <v>1.4467703896464272</v>
      </c>
      <c r="F2" s="1"/>
      <c r="G2" s="1"/>
      <c r="I2" s="7">
        <v>1</v>
      </c>
      <c r="J2" s="2" t="s">
        <v>3</v>
      </c>
      <c r="K2" s="2">
        <v>5.3</v>
      </c>
      <c r="L2" s="11">
        <f>K2 / SQRT(13.42)</f>
        <v>1.4467703896464272</v>
      </c>
    </row>
    <row r="3" spans="1:12" ht="13.2" x14ac:dyDescent="0.25">
      <c r="A3" s="13"/>
      <c r="B3" s="2" t="s">
        <v>4</v>
      </c>
      <c r="C3" s="2">
        <v>21.45</v>
      </c>
      <c r="D3" s="2">
        <v>5.3</v>
      </c>
      <c r="E3" s="3">
        <f>D3 / SQRT(21.45)</f>
        <v>1.1443588202819557</v>
      </c>
      <c r="F3" s="1"/>
      <c r="G3" s="1"/>
      <c r="I3" s="8"/>
      <c r="J3" s="2" t="s">
        <v>4</v>
      </c>
      <c r="K3" s="2">
        <v>5.3</v>
      </c>
      <c r="L3" s="11">
        <f>E3</f>
        <v>1.1443588202819557</v>
      </c>
    </row>
    <row r="4" spans="1:12" ht="13.2" x14ac:dyDescent="0.25">
      <c r="A4" s="13"/>
      <c r="B4" s="2" t="s">
        <v>5</v>
      </c>
      <c r="C4" s="2">
        <v>18.97</v>
      </c>
      <c r="D4" s="2">
        <v>5.3</v>
      </c>
      <c r="E4" s="3">
        <f>D4 / SQRT(18.97)</f>
        <v>1.2168644514921203</v>
      </c>
      <c r="F4" s="1"/>
      <c r="G4" s="1"/>
      <c r="I4" s="7">
        <v>15</v>
      </c>
      <c r="J4" s="2" t="s">
        <v>3</v>
      </c>
      <c r="K4" s="2">
        <v>5.3</v>
      </c>
      <c r="L4" s="11">
        <f>K4 / SQRT(13.42)</f>
        <v>1.4467703896464272</v>
      </c>
    </row>
    <row r="5" spans="1:12" ht="13.2" x14ac:dyDescent="0.25">
      <c r="A5" s="6"/>
      <c r="B5" s="2" t="s">
        <v>6</v>
      </c>
      <c r="C5" s="2">
        <v>15.17</v>
      </c>
      <c r="D5" s="2">
        <v>5.3</v>
      </c>
      <c r="E5" s="3">
        <f>D5 / SQRT(15.17)</f>
        <v>1.3607648398022065</v>
      </c>
      <c r="F5" s="1"/>
      <c r="G5" s="1"/>
      <c r="I5" s="8"/>
      <c r="J5" s="2" t="s">
        <v>4</v>
      </c>
      <c r="K5" s="2">
        <v>5.3</v>
      </c>
      <c r="L5" s="11">
        <f>E7</f>
        <v>1.1443588202819557</v>
      </c>
    </row>
    <row r="6" spans="1:12" ht="13.2" x14ac:dyDescent="0.25">
      <c r="A6" s="7">
        <v>15</v>
      </c>
      <c r="B6" s="2" t="s">
        <v>3</v>
      </c>
      <c r="C6" s="2">
        <v>13.42</v>
      </c>
      <c r="D6" s="2">
        <v>5.3</v>
      </c>
      <c r="E6" s="3">
        <f>D6 / SQRT(13.42)</f>
        <v>1.4467703896464272</v>
      </c>
      <c r="F6" s="1"/>
      <c r="G6" s="1"/>
      <c r="I6" s="7">
        <v>5</v>
      </c>
      <c r="J6" s="2" t="s">
        <v>3</v>
      </c>
      <c r="K6" s="4">
        <v>5.36</v>
      </c>
      <c r="L6" s="11">
        <f>K6 / SQRT(13.42)</f>
        <v>1.4631489223594059</v>
      </c>
    </row>
    <row r="7" spans="1:12" ht="13.2" x14ac:dyDescent="0.25">
      <c r="A7" s="12"/>
      <c r="B7" s="2" t="s">
        <v>4</v>
      </c>
      <c r="C7" s="2">
        <v>21.45</v>
      </c>
      <c r="D7" s="2">
        <v>5.3</v>
      </c>
      <c r="E7" s="3">
        <f>D7 / SQRT(21.45)</f>
        <v>1.1443588202819557</v>
      </c>
      <c r="F7" s="1"/>
      <c r="G7" s="1"/>
      <c r="I7" s="8"/>
      <c r="J7" s="2" t="s">
        <v>4</v>
      </c>
      <c r="K7" s="4">
        <v>5.36</v>
      </c>
      <c r="L7" s="11">
        <f>K7 / SQRT(21.45)</f>
        <v>1.1573138257945819</v>
      </c>
    </row>
    <row r="8" spans="1:12" ht="13.2" x14ac:dyDescent="0.25">
      <c r="A8" s="12"/>
      <c r="B8" s="2" t="s">
        <v>5</v>
      </c>
      <c r="C8" s="2">
        <v>18.97</v>
      </c>
      <c r="D8" s="2">
        <v>5.3</v>
      </c>
      <c r="E8" s="3">
        <f>D8 / SQRT(18.97)</f>
        <v>1.2168644514921203</v>
      </c>
      <c r="F8" s="1"/>
      <c r="G8" s="1"/>
      <c r="I8" s="7">
        <v>25</v>
      </c>
      <c r="J8" s="2" t="s">
        <v>3</v>
      </c>
      <c r="K8" s="4">
        <v>5.45</v>
      </c>
      <c r="L8" s="11">
        <f t="shared" ref="L8" si="0">K8 / SQRT(13.42)</f>
        <v>1.4877167214288736</v>
      </c>
    </row>
    <row r="9" spans="1:12" ht="13.2" x14ac:dyDescent="0.25">
      <c r="A9" s="8"/>
      <c r="B9" s="2" t="s">
        <v>6</v>
      </c>
      <c r="C9" s="2">
        <v>15.17</v>
      </c>
      <c r="D9" s="2">
        <v>5.3</v>
      </c>
      <c r="E9" s="3">
        <f>D9 / SQRT(15.17)</f>
        <v>1.3607648398022065</v>
      </c>
      <c r="F9" s="1"/>
      <c r="G9" s="1"/>
      <c r="I9" s="8"/>
      <c r="J9" s="2" t="s">
        <v>4</v>
      </c>
      <c r="K9" s="4">
        <v>5.45</v>
      </c>
      <c r="L9" s="11">
        <f t="shared" ref="L9" si="1">K9 / SQRT(21.45)</f>
        <v>1.1767463340635207</v>
      </c>
    </row>
    <row r="10" spans="1:12" ht="13.2" x14ac:dyDescent="0.25">
      <c r="A10" s="7">
        <v>5</v>
      </c>
      <c r="B10" s="2" t="s">
        <v>3</v>
      </c>
      <c r="C10" s="2">
        <v>13.42</v>
      </c>
      <c r="D10" s="4">
        <v>5.36</v>
      </c>
      <c r="E10" s="3">
        <f>D10 / SQRT(13.42)</f>
        <v>1.4631489223594059</v>
      </c>
      <c r="F10" s="1"/>
      <c r="G10" s="1"/>
      <c r="I10" s="7">
        <v>3</v>
      </c>
      <c r="J10" s="2" t="s">
        <v>3</v>
      </c>
      <c r="K10" s="4">
        <v>5.15</v>
      </c>
      <c r="L10" s="11">
        <f t="shared" ref="L10" si="2">K10 / SQRT(13.42)</f>
        <v>1.4058240578639813</v>
      </c>
    </row>
    <row r="11" spans="1:12" ht="13.2" x14ac:dyDescent="0.25">
      <c r="A11" s="12"/>
      <c r="B11" s="2" t="s">
        <v>4</v>
      </c>
      <c r="C11" s="2">
        <v>21.45</v>
      </c>
      <c r="D11" s="4">
        <v>5.36</v>
      </c>
      <c r="E11" s="3">
        <f>D11 / SQRT(21.45)</f>
        <v>1.1573138257945819</v>
      </c>
      <c r="F11" s="1"/>
      <c r="G11" s="1"/>
      <c r="I11" s="8"/>
      <c r="J11" s="2" t="s">
        <v>4</v>
      </c>
      <c r="K11" s="4">
        <v>5.15</v>
      </c>
      <c r="L11" s="11">
        <f t="shared" ref="L11" si="3">K11 / SQRT(21.45)</f>
        <v>1.1119713065003911</v>
      </c>
    </row>
    <row r="12" spans="1:12" ht="13.2" x14ac:dyDescent="0.25">
      <c r="A12" s="12"/>
      <c r="B12" s="2" t="s">
        <v>5</v>
      </c>
      <c r="C12" s="2">
        <v>18.97</v>
      </c>
      <c r="D12" s="4">
        <v>5.36</v>
      </c>
      <c r="E12" s="3">
        <f>D12 / SQRT(18.97)</f>
        <v>1.2306402754712764</v>
      </c>
      <c r="F12" s="1"/>
      <c r="G12" s="1"/>
      <c r="I12" s="7">
        <v>33</v>
      </c>
      <c r="J12" s="2" t="s">
        <v>3</v>
      </c>
      <c r="K12" s="4">
        <v>4.8</v>
      </c>
      <c r="L12" s="11">
        <f t="shared" ref="L12" si="4">K12 / SQRT(13.42)</f>
        <v>1.3102826170382738</v>
      </c>
    </row>
    <row r="13" spans="1:12" ht="15.75" customHeight="1" x14ac:dyDescent="0.25">
      <c r="A13" s="8"/>
      <c r="B13" s="2" t="s">
        <v>6</v>
      </c>
      <c r="C13" s="2">
        <v>15.17</v>
      </c>
      <c r="D13" s="4">
        <v>5.36</v>
      </c>
      <c r="E13" s="3">
        <f>D13 / SQRT(15.17)</f>
        <v>1.3761697247810996</v>
      </c>
      <c r="F13" s="1"/>
      <c r="G13" s="1"/>
      <c r="I13" s="8"/>
      <c r="J13" s="2" t="s">
        <v>4</v>
      </c>
      <c r="K13" s="4">
        <v>4.8</v>
      </c>
      <c r="L13" s="11">
        <f t="shared" ref="L13" si="5">K13 / SQRT(21.45)</f>
        <v>1.0364004410100731</v>
      </c>
    </row>
    <row r="14" spans="1:12" ht="15.75" customHeight="1" x14ac:dyDescent="0.25">
      <c r="A14" s="7">
        <v>25</v>
      </c>
      <c r="B14" s="2" t="s">
        <v>3</v>
      </c>
      <c r="C14" s="2">
        <v>13.42</v>
      </c>
      <c r="D14" s="4">
        <v>5.45</v>
      </c>
      <c r="E14" s="3">
        <f t="shared" ref="E14" si="6">D14 / SQRT(13.42)</f>
        <v>1.4877167214288736</v>
      </c>
      <c r="F14" s="1"/>
      <c r="G14" s="1"/>
      <c r="I14" s="7">
        <v>30</v>
      </c>
      <c r="J14" s="2" t="s">
        <v>3</v>
      </c>
      <c r="K14" s="4">
        <v>5.46</v>
      </c>
      <c r="L14" s="11">
        <f t="shared" ref="L14" si="7">K14 / SQRT(13.42)</f>
        <v>1.4904464768810364</v>
      </c>
    </row>
    <row r="15" spans="1:12" ht="15.75" customHeight="1" x14ac:dyDescent="0.25">
      <c r="A15" s="12"/>
      <c r="B15" s="2" t="s">
        <v>4</v>
      </c>
      <c r="C15" s="2">
        <v>21.45</v>
      </c>
      <c r="D15" s="4">
        <v>5.45</v>
      </c>
      <c r="E15" s="3">
        <f t="shared" ref="E15" si="8">D15 / SQRT(21.45)</f>
        <v>1.1767463340635207</v>
      </c>
      <c r="F15" s="1"/>
      <c r="G15" s="1"/>
      <c r="I15" s="8"/>
      <c r="J15" s="2" t="s">
        <v>4</v>
      </c>
      <c r="K15" s="4">
        <v>5.46</v>
      </c>
      <c r="L15" s="11">
        <f t="shared" ref="L15" si="9">K15 / SQRT(21.45)</f>
        <v>1.1789055016489582</v>
      </c>
    </row>
    <row r="16" spans="1:12" ht="15.75" customHeight="1" x14ac:dyDescent="0.25">
      <c r="A16" s="12"/>
      <c r="B16" s="2" t="s">
        <v>5</v>
      </c>
      <c r="C16" s="2">
        <v>18.97</v>
      </c>
      <c r="D16" s="4">
        <v>5.45</v>
      </c>
      <c r="E16" s="3">
        <f t="shared" ref="E16" si="10">D16 / SQRT(18.97)</f>
        <v>1.2513040114400105</v>
      </c>
      <c r="F16" s="1"/>
      <c r="G16" s="1"/>
      <c r="I16" s="7">
        <v>35</v>
      </c>
      <c r="J16" s="2" t="s">
        <v>3</v>
      </c>
      <c r="K16" s="4">
        <v>4.41</v>
      </c>
      <c r="L16" s="3">
        <f t="shared" ref="L16" si="11">K16 / SQRT(13.42)</f>
        <v>1.203822154403914</v>
      </c>
    </row>
    <row r="17" spans="1:12" ht="15.75" customHeight="1" x14ac:dyDescent="0.25">
      <c r="A17" s="8"/>
      <c r="B17" s="2" t="s">
        <v>6</v>
      </c>
      <c r="C17" s="2">
        <v>15.17</v>
      </c>
      <c r="D17" s="4">
        <v>5.45</v>
      </c>
      <c r="E17" s="3">
        <f t="shared" ref="E17" si="12">D17 / SQRT(15.17)</f>
        <v>1.3992770522494389</v>
      </c>
      <c r="F17" s="1"/>
      <c r="G17" s="1"/>
      <c r="I17" s="8"/>
      <c r="J17" s="2" t="s">
        <v>4</v>
      </c>
      <c r="K17" s="4">
        <v>4.41</v>
      </c>
      <c r="L17" s="3">
        <f t="shared" ref="L17" si="13">K17 / SQRT(21.45)</f>
        <v>0.95219290517800481</v>
      </c>
    </row>
    <row r="18" spans="1:12" ht="15.75" customHeight="1" x14ac:dyDescent="0.25">
      <c r="A18" s="7">
        <v>3</v>
      </c>
      <c r="B18" s="2" t="s">
        <v>3</v>
      </c>
      <c r="C18" s="2">
        <v>13.42</v>
      </c>
      <c r="D18" s="4">
        <v>5.15</v>
      </c>
      <c r="E18" s="3">
        <f t="shared" ref="E18" si="14">D18 / SQRT(13.42)</f>
        <v>1.4058240578639813</v>
      </c>
      <c r="F18" s="1"/>
      <c r="G18" s="1"/>
      <c r="I18" s="7">
        <v>12</v>
      </c>
      <c r="J18" s="2" t="s">
        <v>3</v>
      </c>
      <c r="K18" s="4">
        <v>5</v>
      </c>
      <c r="L18" s="3">
        <f t="shared" ref="L18" si="15">K18 / SQRT(13.42)</f>
        <v>1.3648777260815352</v>
      </c>
    </row>
    <row r="19" spans="1:12" ht="15.75" customHeight="1" x14ac:dyDescent="0.25">
      <c r="A19" s="12"/>
      <c r="B19" s="2" t="s">
        <v>4</v>
      </c>
      <c r="C19" s="2">
        <v>21.45</v>
      </c>
      <c r="D19" s="4">
        <v>5.15</v>
      </c>
      <c r="E19" s="3">
        <f t="shared" ref="E19" si="16">D19 / SQRT(21.45)</f>
        <v>1.1119713065003911</v>
      </c>
      <c r="F19" s="1"/>
      <c r="G19" s="1"/>
      <c r="I19" s="8"/>
      <c r="J19" s="2" t="s">
        <v>4</v>
      </c>
      <c r="K19" s="4">
        <v>5</v>
      </c>
      <c r="L19" s="3">
        <f t="shared" ref="L19" si="17">K19 / SQRT(21.45)</f>
        <v>1.0795837927188263</v>
      </c>
    </row>
    <row r="20" spans="1:12" ht="15.75" customHeight="1" x14ac:dyDescent="0.25">
      <c r="A20" s="12"/>
      <c r="B20" s="2" t="s">
        <v>5</v>
      </c>
      <c r="C20" s="2">
        <v>18.97</v>
      </c>
      <c r="D20" s="4">
        <v>5.15</v>
      </c>
      <c r="E20" s="3">
        <f t="shared" ref="E20" si="18">D20 / SQRT(18.97)</f>
        <v>1.1824248915442301</v>
      </c>
      <c r="F20" s="1"/>
      <c r="G20" s="1"/>
      <c r="I20" s="7">
        <v>37</v>
      </c>
      <c r="J20" s="2" t="s">
        <v>3</v>
      </c>
      <c r="K20" s="4">
        <v>4.5</v>
      </c>
      <c r="L20" s="3">
        <f t="shared" ref="L20" si="19">K20 / SQRT(13.42)</f>
        <v>1.2283899534733818</v>
      </c>
    </row>
    <row r="21" spans="1:12" ht="15.75" customHeight="1" x14ac:dyDescent="0.25">
      <c r="A21" s="8"/>
      <c r="B21" s="2" t="s">
        <v>6</v>
      </c>
      <c r="C21" s="2">
        <v>15.17</v>
      </c>
      <c r="D21" s="4">
        <v>5.15</v>
      </c>
      <c r="E21" s="3">
        <f t="shared" ref="E21" si="20">D21 / SQRT(15.17)</f>
        <v>1.3222526273549744</v>
      </c>
      <c r="F21" s="1"/>
      <c r="G21" s="1"/>
      <c r="I21" s="8"/>
      <c r="J21" s="2" t="s">
        <v>4</v>
      </c>
      <c r="K21" s="4">
        <v>4.5</v>
      </c>
      <c r="L21" s="3">
        <f t="shared" ref="L21" si="21">K21 / SQRT(21.45)</f>
        <v>0.97162541344694364</v>
      </c>
    </row>
    <row r="22" spans="1:12" ht="15.75" customHeight="1" x14ac:dyDescent="0.25">
      <c r="A22" s="7">
        <v>33</v>
      </c>
      <c r="B22" s="2" t="s">
        <v>3</v>
      </c>
      <c r="C22" s="2">
        <v>13.42</v>
      </c>
      <c r="D22" s="4">
        <v>4.8</v>
      </c>
      <c r="E22" s="3">
        <f t="shared" ref="E22" si="22">D22 / SQRT(13.42)</f>
        <v>1.3102826170382738</v>
      </c>
      <c r="F22" s="1"/>
      <c r="G22" s="1"/>
      <c r="I22" s="7">
        <v>10</v>
      </c>
      <c r="J22" s="2" t="s">
        <v>3</v>
      </c>
      <c r="K22" s="4">
        <v>4.3</v>
      </c>
      <c r="L22" s="3">
        <f t="shared" ref="L22" si="23">K22 / SQRT(13.42)</f>
        <v>1.1737948444301203</v>
      </c>
    </row>
    <row r="23" spans="1:12" ht="15.75" customHeight="1" x14ac:dyDescent="0.25">
      <c r="A23" s="12"/>
      <c r="B23" s="2" t="s">
        <v>4</v>
      </c>
      <c r="C23" s="2">
        <v>21.45</v>
      </c>
      <c r="D23" s="4">
        <v>4.8</v>
      </c>
      <c r="E23" s="3">
        <f t="shared" ref="E23" si="24">D23 / SQRT(21.45)</f>
        <v>1.0364004410100731</v>
      </c>
      <c r="F23" s="1"/>
      <c r="G23" s="1"/>
      <c r="I23" s="8"/>
      <c r="J23" s="2" t="s">
        <v>4</v>
      </c>
      <c r="K23" s="4">
        <v>4.3</v>
      </c>
      <c r="L23" s="3">
        <f t="shared" ref="L23" si="25">K23 / SQRT(21.45)</f>
        <v>0.92844206173819055</v>
      </c>
    </row>
    <row r="24" spans="1:12" ht="15.75" customHeight="1" x14ac:dyDescent="0.25">
      <c r="A24" s="12"/>
      <c r="B24" s="2" t="s">
        <v>5</v>
      </c>
      <c r="C24" s="2">
        <v>18.97</v>
      </c>
      <c r="D24" s="4">
        <v>4.8</v>
      </c>
      <c r="E24" s="3">
        <f t="shared" ref="E24" si="26">D24 / SQRT(18.97)</f>
        <v>1.1020659183324863</v>
      </c>
      <c r="F24" s="1"/>
      <c r="G24" s="1"/>
      <c r="I24" s="7">
        <v>20</v>
      </c>
      <c r="J24" s="2" t="s">
        <v>3</v>
      </c>
      <c r="K24" s="4">
        <v>5</v>
      </c>
      <c r="L24" s="3">
        <f t="shared" ref="L24" si="27">K24 / SQRT(13.42)</f>
        <v>1.3648777260815352</v>
      </c>
    </row>
    <row r="25" spans="1:12" ht="15.75" customHeight="1" x14ac:dyDescent="0.25">
      <c r="A25" s="8"/>
      <c r="B25" s="2" t="s">
        <v>6</v>
      </c>
      <c r="C25" s="2">
        <v>15.17</v>
      </c>
      <c r="D25" s="4">
        <v>4.8</v>
      </c>
      <c r="E25" s="3">
        <f t="shared" ref="E25" si="28">D25 / SQRT(15.17)</f>
        <v>1.2323907983114322</v>
      </c>
      <c r="F25" s="1"/>
      <c r="G25" s="1"/>
      <c r="I25" s="8"/>
      <c r="J25" s="2" t="s">
        <v>4</v>
      </c>
      <c r="K25" s="4">
        <v>5</v>
      </c>
      <c r="L25" s="3">
        <f t="shared" ref="L25" si="29">K25 / SQRT(21.45)</f>
        <v>1.0795837927188263</v>
      </c>
    </row>
    <row r="26" spans="1:12" ht="15.75" customHeight="1" x14ac:dyDescent="0.25">
      <c r="A26" s="7">
        <v>30</v>
      </c>
      <c r="B26" s="2" t="s">
        <v>3</v>
      </c>
      <c r="C26" s="2">
        <v>13.42</v>
      </c>
      <c r="D26" s="4">
        <v>5.46</v>
      </c>
      <c r="E26" s="3">
        <f t="shared" ref="E26" si="30">D26 / SQRT(13.42)</f>
        <v>1.4904464768810364</v>
      </c>
      <c r="F26" s="1"/>
      <c r="G26" s="1"/>
      <c r="L26" s="10">
        <f>MIN(L2:L25)</f>
        <v>0.92844206173819055</v>
      </c>
    </row>
    <row r="27" spans="1:12" ht="15.75" customHeight="1" x14ac:dyDescent="0.25">
      <c r="A27" s="12"/>
      <c r="B27" s="2" t="s">
        <v>4</v>
      </c>
      <c r="C27" s="2">
        <v>21.45</v>
      </c>
      <c r="D27" s="4">
        <v>5.46</v>
      </c>
      <c r="E27" s="3">
        <f t="shared" ref="E27" si="31">D27 / SQRT(21.45)</f>
        <v>1.1789055016489582</v>
      </c>
      <c r="F27" s="1"/>
      <c r="G27" s="1"/>
      <c r="L27" s="10">
        <f>MAX(L2:L25)</f>
        <v>1.4904464768810364</v>
      </c>
    </row>
    <row r="28" spans="1:12" ht="15.75" customHeight="1" x14ac:dyDescent="0.25">
      <c r="A28" s="12"/>
      <c r="B28" s="2" t="s">
        <v>5</v>
      </c>
      <c r="C28" s="2">
        <v>18.97</v>
      </c>
      <c r="D28" s="4">
        <v>5.46</v>
      </c>
      <c r="E28" s="3">
        <f t="shared" ref="E28" si="32">D28 / SQRT(18.97)</f>
        <v>1.2535999821032031</v>
      </c>
      <c r="F28" s="1"/>
      <c r="G28" s="1"/>
    </row>
    <row r="29" spans="1:12" ht="15.75" customHeight="1" x14ac:dyDescent="0.25">
      <c r="A29" s="8"/>
      <c r="B29" s="2" t="s">
        <v>6</v>
      </c>
      <c r="C29" s="2">
        <v>15.17</v>
      </c>
      <c r="D29" s="4">
        <v>5.46</v>
      </c>
      <c r="E29" s="3">
        <f t="shared" ref="E29" si="33">D29 / SQRT(15.17)</f>
        <v>1.4018445330792542</v>
      </c>
      <c r="F29" s="1"/>
      <c r="G29" s="1"/>
    </row>
    <row r="30" spans="1:12" ht="15.75" customHeight="1" x14ac:dyDescent="0.25">
      <c r="A30" s="7">
        <v>35</v>
      </c>
      <c r="B30" s="2" t="s">
        <v>3</v>
      </c>
      <c r="C30" s="2">
        <v>13.42</v>
      </c>
      <c r="D30" s="4">
        <v>4.41</v>
      </c>
      <c r="E30" s="3">
        <f t="shared" ref="E30" si="34">D30 / SQRT(13.42)</f>
        <v>1.203822154403914</v>
      </c>
      <c r="F30" s="1"/>
      <c r="G30" s="1"/>
    </row>
    <row r="31" spans="1:12" ht="15.75" customHeight="1" x14ac:dyDescent="0.25">
      <c r="A31" s="12"/>
      <c r="B31" s="2" t="s">
        <v>4</v>
      </c>
      <c r="C31" s="2">
        <v>21.45</v>
      </c>
      <c r="D31" s="4">
        <v>4.41</v>
      </c>
      <c r="E31" s="3">
        <f t="shared" ref="E31" si="35">D31 / SQRT(21.45)</f>
        <v>0.95219290517800481</v>
      </c>
      <c r="F31" s="1"/>
      <c r="G31" s="1"/>
    </row>
    <row r="32" spans="1:12" ht="15.75" customHeight="1" x14ac:dyDescent="0.25">
      <c r="A32" s="12"/>
      <c r="B32" s="2" t="s">
        <v>5</v>
      </c>
      <c r="C32" s="2">
        <v>18.97</v>
      </c>
      <c r="D32" s="4">
        <v>4.41</v>
      </c>
      <c r="E32" s="3">
        <f t="shared" ref="E32" si="36">D32 / SQRT(18.97)</f>
        <v>1.0125230624679717</v>
      </c>
      <c r="F32" s="1"/>
      <c r="G32" s="1"/>
    </row>
    <row r="33" spans="1:7" ht="15.75" customHeight="1" x14ac:dyDescent="0.25">
      <c r="A33" s="8"/>
      <c r="B33" s="2" t="s">
        <v>6</v>
      </c>
      <c r="C33" s="2">
        <v>15.17</v>
      </c>
      <c r="D33" s="4">
        <v>4.41</v>
      </c>
      <c r="E33" s="3">
        <f t="shared" ref="E33" si="37">D33 / SQRT(15.17)</f>
        <v>1.1322590459486284</v>
      </c>
      <c r="F33" s="1"/>
      <c r="G33" s="1"/>
    </row>
    <row r="34" spans="1:7" ht="15.75" customHeight="1" x14ac:dyDescent="0.25">
      <c r="A34" s="7">
        <v>12</v>
      </c>
      <c r="B34" s="2" t="s">
        <v>3</v>
      </c>
      <c r="C34" s="2">
        <v>13.42</v>
      </c>
      <c r="D34" s="4">
        <v>5</v>
      </c>
      <c r="E34" s="3">
        <f t="shared" ref="E34" si="38">D34 / SQRT(13.42)</f>
        <v>1.3648777260815352</v>
      </c>
      <c r="F34" s="1"/>
      <c r="G34" s="1"/>
    </row>
    <row r="35" spans="1:7" ht="15.75" customHeight="1" x14ac:dyDescent="0.25">
      <c r="A35" s="12"/>
      <c r="B35" s="2" t="s">
        <v>4</v>
      </c>
      <c r="C35" s="2">
        <v>21.45</v>
      </c>
      <c r="D35" s="4">
        <v>5</v>
      </c>
      <c r="E35" s="3">
        <f t="shared" ref="E35" si="39">D35 / SQRT(21.45)</f>
        <v>1.0795837927188263</v>
      </c>
      <c r="F35" s="1"/>
      <c r="G35" s="1"/>
    </row>
    <row r="36" spans="1:7" ht="15.75" customHeight="1" x14ac:dyDescent="0.25">
      <c r="A36" s="12"/>
      <c r="B36" s="2" t="s">
        <v>5</v>
      </c>
      <c r="C36" s="2">
        <v>18.97</v>
      </c>
      <c r="D36" s="4">
        <v>5</v>
      </c>
      <c r="E36" s="3">
        <f t="shared" ref="E36" si="40">D36 / SQRT(18.97)</f>
        <v>1.14798533159634</v>
      </c>
      <c r="F36" s="1"/>
      <c r="G36" s="1"/>
    </row>
    <row r="37" spans="1:7" ht="15.75" customHeight="1" x14ac:dyDescent="0.25">
      <c r="A37" s="8"/>
      <c r="B37" s="2" t="s">
        <v>6</v>
      </c>
      <c r="C37" s="2">
        <v>15.17</v>
      </c>
      <c r="D37" s="4">
        <v>5</v>
      </c>
      <c r="E37" s="3">
        <f t="shared" ref="E37" si="41">D37 / SQRT(15.17)</f>
        <v>1.283740414907742</v>
      </c>
      <c r="F37" s="1"/>
      <c r="G37" s="1"/>
    </row>
    <row r="38" spans="1:7" ht="15.75" customHeight="1" x14ac:dyDescent="0.25">
      <c r="A38" s="7">
        <v>37</v>
      </c>
      <c r="B38" s="2" t="s">
        <v>3</v>
      </c>
      <c r="C38" s="2">
        <v>13.42</v>
      </c>
      <c r="D38" s="4">
        <v>4.5</v>
      </c>
      <c r="E38" s="3">
        <f t="shared" ref="E38" si="42">D38 / SQRT(13.42)</f>
        <v>1.2283899534733818</v>
      </c>
      <c r="F38" s="1"/>
      <c r="G38" s="1"/>
    </row>
    <row r="39" spans="1:7" ht="15.75" customHeight="1" x14ac:dyDescent="0.25">
      <c r="A39" s="12"/>
      <c r="B39" s="2" t="s">
        <v>4</v>
      </c>
      <c r="C39" s="2">
        <v>21.45</v>
      </c>
      <c r="D39" s="4">
        <v>4.5</v>
      </c>
      <c r="E39" s="3">
        <f t="shared" ref="E39" si="43">D39 / SQRT(21.45)</f>
        <v>0.97162541344694364</v>
      </c>
      <c r="F39" s="1"/>
      <c r="G39" s="1"/>
    </row>
    <row r="40" spans="1:7" ht="15.75" customHeight="1" x14ac:dyDescent="0.25">
      <c r="A40" s="12"/>
      <c r="B40" s="2" t="s">
        <v>5</v>
      </c>
      <c r="C40" s="2">
        <v>18.97</v>
      </c>
      <c r="D40" s="4">
        <v>4.5</v>
      </c>
      <c r="E40" s="3">
        <f t="shared" ref="E40" si="44">D40 / SQRT(18.97)</f>
        <v>1.0331867984367058</v>
      </c>
      <c r="F40" s="1"/>
      <c r="G40" s="1"/>
    </row>
    <row r="41" spans="1:7" ht="15.75" customHeight="1" x14ac:dyDescent="0.25">
      <c r="A41" s="8"/>
      <c r="B41" s="2" t="s">
        <v>6</v>
      </c>
      <c r="C41" s="2">
        <v>15.17</v>
      </c>
      <c r="D41" s="4">
        <v>4.5</v>
      </c>
      <c r="E41" s="3">
        <f t="shared" ref="E41" si="45">D41 / SQRT(15.17)</f>
        <v>1.1553663734169677</v>
      </c>
      <c r="F41" s="1"/>
      <c r="G41" s="1"/>
    </row>
    <row r="42" spans="1:7" ht="15.75" customHeight="1" x14ac:dyDescent="0.25">
      <c r="A42" s="7">
        <v>10</v>
      </c>
      <c r="B42" s="2" t="s">
        <v>3</v>
      </c>
      <c r="C42" s="2">
        <v>13.42</v>
      </c>
      <c r="D42" s="4">
        <v>4.3</v>
      </c>
      <c r="E42" s="3">
        <f t="shared" ref="E42" si="46">D42 / SQRT(13.42)</f>
        <v>1.1737948444301203</v>
      </c>
      <c r="F42" s="1"/>
      <c r="G42" s="1"/>
    </row>
    <row r="43" spans="1:7" ht="15.75" customHeight="1" x14ac:dyDescent="0.25">
      <c r="A43" s="12"/>
      <c r="B43" s="2" t="s">
        <v>4</v>
      </c>
      <c r="C43" s="2">
        <v>21.45</v>
      </c>
      <c r="D43" s="4">
        <v>4.3</v>
      </c>
      <c r="E43" s="3">
        <f t="shared" ref="E43" si="47">D43 / SQRT(21.45)</f>
        <v>0.92844206173819055</v>
      </c>
      <c r="F43" s="1"/>
      <c r="G43" s="1"/>
    </row>
    <row r="44" spans="1:7" ht="15.75" customHeight="1" x14ac:dyDescent="0.25">
      <c r="A44" s="12"/>
      <c r="B44" s="2" t="s">
        <v>5</v>
      </c>
      <c r="C44" s="2">
        <v>18.97</v>
      </c>
      <c r="D44" s="4">
        <v>4.3</v>
      </c>
      <c r="E44" s="3">
        <f t="shared" ref="E44" si="48">D44 / SQRT(18.97)</f>
        <v>0.98726738517285229</v>
      </c>
      <c r="F44" s="1"/>
      <c r="G44" s="1"/>
    </row>
    <row r="45" spans="1:7" ht="15.75" customHeight="1" x14ac:dyDescent="0.25">
      <c r="A45" s="8"/>
      <c r="B45" s="2" t="s">
        <v>6</v>
      </c>
      <c r="C45" s="2">
        <v>15.17</v>
      </c>
      <c r="D45" s="4">
        <v>4.3</v>
      </c>
      <c r="E45" s="3">
        <f t="shared" ref="E45" si="49">D45 / SQRT(15.17)</f>
        <v>1.104016756820658</v>
      </c>
      <c r="F45" s="1"/>
      <c r="G45" s="1"/>
    </row>
    <row r="46" spans="1:7" ht="15.75" customHeight="1" x14ac:dyDescent="0.25">
      <c r="A46" s="7">
        <v>20</v>
      </c>
      <c r="B46" s="2" t="s">
        <v>3</v>
      </c>
      <c r="C46" s="2">
        <v>13.42</v>
      </c>
      <c r="D46" s="4">
        <v>5</v>
      </c>
      <c r="E46" s="3">
        <f t="shared" ref="E46" si="50">D46 / SQRT(13.42)</f>
        <v>1.3648777260815352</v>
      </c>
      <c r="F46" s="1"/>
      <c r="G46" s="1"/>
    </row>
    <row r="47" spans="1:7" ht="15.75" customHeight="1" x14ac:dyDescent="0.25">
      <c r="A47" s="12"/>
      <c r="B47" s="2" t="s">
        <v>4</v>
      </c>
      <c r="C47" s="2">
        <v>21.45</v>
      </c>
      <c r="D47" s="4">
        <v>5</v>
      </c>
      <c r="E47" s="3">
        <f t="shared" ref="E47" si="51">D47 / SQRT(21.45)</f>
        <v>1.0795837927188263</v>
      </c>
      <c r="F47" s="1"/>
      <c r="G47" s="1"/>
    </row>
    <row r="48" spans="1:7" ht="15.75" customHeight="1" x14ac:dyDescent="0.25">
      <c r="A48" s="12"/>
      <c r="B48" s="2" t="s">
        <v>5</v>
      </c>
      <c r="C48" s="2">
        <v>18.97</v>
      </c>
      <c r="D48" s="4">
        <v>5</v>
      </c>
      <c r="E48" s="3">
        <f t="shared" ref="E48" si="52">D48 / SQRT(18.97)</f>
        <v>1.14798533159634</v>
      </c>
      <c r="F48" s="1"/>
      <c r="G48" s="1"/>
    </row>
    <row r="49" spans="1:7" ht="15.75" customHeight="1" x14ac:dyDescent="0.25">
      <c r="A49" s="8"/>
      <c r="B49" s="2" t="s">
        <v>6</v>
      </c>
      <c r="C49" s="2">
        <v>15.17</v>
      </c>
      <c r="D49" s="4">
        <v>5</v>
      </c>
      <c r="E49" s="3">
        <f t="shared" ref="E49" si="53">D49 / SQRT(15.17)</f>
        <v>1.283740414907742</v>
      </c>
      <c r="F49" s="1"/>
      <c r="G49" s="1"/>
    </row>
  </sheetData>
  <mergeCells count="24">
    <mergeCell ref="A26:A29"/>
    <mergeCell ref="A30:A33"/>
    <mergeCell ref="A34:A37"/>
    <mergeCell ref="A38:A41"/>
    <mergeCell ref="A42:A45"/>
    <mergeCell ref="A46:A49"/>
    <mergeCell ref="A18:A21"/>
    <mergeCell ref="I18:I19"/>
    <mergeCell ref="I20:I21"/>
    <mergeCell ref="A22:A25"/>
    <mergeCell ref="I22:I23"/>
    <mergeCell ref="I24:I25"/>
    <mergeCell ref="A10:A13"/>
    <mergeCell ref="I10:I11"/>
    <mergeCell ref="I12:I13"/>
    <mergeCell ref="A14:A17"/>
    <mergeCell ref="I14:I15"/>
    <mergeCell ref="I16:I17"/>
    <mergeCell ref="A2:A5"/>
    <mergeCell ref="I2:I3"/>
    <mergeCell ref="I4:I5"/>
    <mergeCell ref="A6:A9"/>
    <mergeCell ref="I6:I7"/>
    <mergeCell ref="I8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9"/>
  <sheetViews>
    <sheetView tabSelected="1" topLeftCell="A29" workbookViewId="0">
      <selection sqref="A1:D51"/>
    </sheetView>
  </sheetViews>
  <sheetFormatPr defaultColWidth="12.6640625" defaultRowHeight="15.75" customHeight="1" x14ac:dyDescent="0.25"/>
  <cols>
    <col min="2" max="2" width="14.88671875" bestFit="1" customWidth="1"/>
    <col min="3" max="3" width="17.77734375" bestFit="1" customWidth="1"/>
    <col min="4" max="4" width="28" customWidth="1"/>
  </cols>
  <sheetData>
    <row r="1" spans="1:6" ht="13.2" x14ac:dyDescent="0.25">
      <c r="A1" s="9" t="s">
        <v>0</v>
      </c>
      <c r="B1" s="9" t="s">
        <v>1</v>
      </c>
      <c r="C1" s="9" t="s">
        <v>10</v>
      </c>
      <c r="D1" s="9" t="s">
        <v>8</v>
      </c>
      <c r="E1" s="1"/>
      <c r="F1" s="1"/>
    </row>
    <row r="2" spans="1:6" ht="13.2" x14ac:dyDescent="0.25">
      <c r="A2" s="5">
        <v>1</v>
      </c>
      <c r="B2" s="2" t="s">
        <v>3</v>
      </c>
      <c r="C2" s="2">
        <v>5.3</v>
      </c>
      <c r="D2" s="3">
        <f>C2 / SQRT(13.42)</f>
        <v>1.4467703896464272</v>
      </c>
      <c r="E2" s="1"/>
      <c r="F2" s="1"/>
    </row>
    <row r="3" spans="1:6" ht="13.2" x14ac:dyDescent="0.25">
      <c r="A3" s="13"/>
      <c r="B3" s="2" t="s">
        <v>4</v>
      </c>
      <c r="C3" s="2">
        <v>5.3</v>
      </c>
      <c r="D3" s="3">
        <f>C3 / SQRT(21.45)</f>
        <v>1.1443588202819557</v>
      </c>
      <c r="E3" s="1"/>
      <c r="F3" s="1"/>
    </row>
    <row r="4" spans="1:6" ht="13.2" x14ac:dyDescent="0.25">
      <c r="A4" s="13"/>
      <c r="B4" s="2" t="s">
        <v>5</v>
      </c>
      <c r="C4" s="2">
        <v>5.3</v>
      </c>
      <c r="D4" s="3">
        <f>C4 / SQRT(18.97)</f>
        <v>1.2168644514921203</v>
      </c>
      <c r="E4" s="1"/>
      <c r="F4" s="1"/>
    </row>
    <row r="5" spans="1:6" ht="13.2" x14ac:dyDescent="0.25">
      <c r="A5" s="6"/>
      <c r="B5" s="2" t="s">
        <v>6</v>
      </c>
      <c r="C5" s="2">
        <v>5.3</v>
      </c>
      <c r="D5" s="3">
        <f>C5 / SQRT(15.17)</f>
        <v>1.3607648398022065</v>
      </c>
      <c r="E5" s="1"/>
      <c r="F5" s="1"/>
    </row>
    <row r="6" spans="1:6" ht="13.2" x14ac:dyDescent="0.25">
      <c r="A6" s="7">
        <v>15</v>
      </c>
      <c r="B6" s="2" t="s">
        <v>3</v>
      </c>
      <c r="C6" s="2">
        <v>5.3</v>
      </c>
      <c r="D6" s="3">
        <f>C6 / SQRT(13.42)</f>
        <v>1.4467703896464272</v>
      </c>
      <c r="E6" s="1"/>
      <c r="F6" s="1"/>
    </row>
    <row r="7" spans="1:6" ht="13.2" x14ac:dyDescent="0.25">
      <c r="A7" s="12"/>
      <c r="B7" s="2" t="s">
        <v>4</v>
      </c>
      <c r="C7" s="2">
        <v>5.3</v>
      </c>
      <c r="D7" s="3">
        <f>C7 / SQRT(21.45)</f>
        <v>1.1443588202819557</v>
      </c>
      <c r="E7" s="1"/>
      <c r="F7" s="1"/>
    </row>
    <row r="8" spans="1:6" ht="13.2" x14ac:dyDescent="0.25">
      <c r="A8" s="12"/>
      <c r="B8" s="2" t="s">
        <v>5</v>
      </c>
      <c r="C8" s="2">
        <v>5.3</v>
      </c>
      <c r="D8" s="3">
        <f>C8 / SQRT(18.97)</f>
        <v>1.2168644514921203</v>
      </c>
      <c r="E8" s="1"/>
      <c r="F8" s="1"/>
    </row>
    <row r="9" spans="1:6" ht="13.2" x14ac:dyDescent="0.25">
      <c r="A9" s="8"/>
      <c r="B9" s="2" t="s">
        <v>6</v>
      </c>
      <c r="C9" s="2">
        <v>5.3</v>
      </c>
      <c r="D9" s="3">
        <f>C9 / SQRT(15.17)</f>
        <v>1.3607648398022065</v>
      </c>
      <c r="E9" s="1"/>
      <c r="F9" s="1"/>
    </row>
    <row r="10" spans="1:6" ht="13.2" x14ac:dyDescent="0.25">
      <c r="A10" s="7">
        <v>5</v>
      </c>
      <c r="B10" s="2" t="s">
        <v>3</v>
      </c>
      <c r="C10" s="4">
        <v>5.36</v>
      </c>
      <c r="D10" s="3">
        <f>C10 / SQRT(13.42)</f>
        <v>1.4631489223594059</v>
      </c>
      <c r="E10" s="1"/>
      <c r="F10" s="1"/>
    </row>
    <row r="11" spans="1:6" ht="13.2" x14ac:dyDescent="0.25">
      <c r="A11" s="12"/>
      <c r="B11" s="2" t="s">
        <v>4</v>
      </c>
      <c r="C11" s="4">
        <v>5.36</v>
      </c>
      <c r="D11" s="3">
        <f>C11 / SQRT(21.45)</f>
        <v>1.1573138257945819</v>
      </c>
      <c r="E11" s="1"/>
      <c r="F11" s="1"/>
    </row>
    <row r="12" spans="1:6" ht="13.2" x14ac:dyDescent="0.25">
      <c r="A12" s="12"/>
      <c r="B12" s="2" t="s">
        <v>5</v>
      </c>
      <c r="C12" s="4">
        <v>5.36</v>
      </c>
      <c r="D12" s="3">
        <f>C12 / SQRT(18.97)</f>
        <v>1.2306402754712764</v>
      </c>
      <c r="E12" s="1"/>
      <c r="F12" s="1"/>
    </row>
    <row r="13" spans="1:6" ht="15.75" customHeight="1" x14ac:dyDescent="0.25">
      <c r="A13" s="8"/>
      <c r="B13" s="2" t="s">
        <v>6</v>
      </c>
      <c r="C13" s="4">
        <v>5.36</v>
      </c>
      <c r="D13" s="3">
        <f>C13 / SQRT(15.17)</f>
        <v>1.3761697247810996</v>
      </c>
      <c r="E13" s="1"/>
      <c r="F13" s="1"/>
    </row>
    <row r="14" spans="1:6" ht="15.75" customHeight="1" x14ac:dyDescent="0.25">
      <c r="A14" s="7">
        <v>25</v>
      </c>
      <c r="B14" s="2" t="s">
        <v>3</v>
      </c>
      <c r="C14" s="4">
        <v>5.45</v>
      </c>
      <c r="D14" s="3">
        <f t="shared" ref="D14" si="0">C14 / SQRT(13.42)</f>
        <v>1.4877167214288736</v>
      </c>
      <c r="E14" s="1"/>
      <c r="F14" s="1"/>
    </row>
    <row r="15" spans="1:6" ht="15.75" customHeight="1" x14ac:dyDescent="0.25">
      <c r="A15" s="12"/>
      <c r="B15" s="2" t="s">
        <v>4</v>
      </c>
      <c r="C15" s="4">
        <v>5.45</v>
      </c>
      <c r="D15" s="3">
        <f t="shared" ref="D15" si="1">C15 / SQRT(21.45)</f>
        <v>1.1767463340635207</v>
      </c>
      <c r="E15" s="1"/>
      <c r="F15" s="1"/>
    </row>
    <row r="16" spans="1:6" ht="15.75" customHeight="1" x14ac:dyDescent="0.25">
      <c r="A16" s="12"/>
      <c r="B16" s="2" t="s">
        <v>5</v>
      </c>
      <c r="C16" s="4">
        <v>5.45</v>
      </c>
      <c r="D16" s="3">
        <f t="shared" ref="D16" si="2">C16 / SQRT(18.97)</f>
        <v>1.2513040114400105</v>
      </c>
      <c r="E16" s="1"/>
      <c r="F16" s="1"/>
    </row>
    <row r="17" spans="1:6" ht="15.75" customHeight="1" x14ac:dyDescent="0.25">
      <c r="A17" s="8"/>
      <c r="B17" s="2" t="s">
        <v>6</v>
      </c>
      <c r="C17" s="4">
        <v>5.45</v>
      </c>
      <c r="D17" s="3">
        <f t="shared" ref="D17" si="3">C17 / SQRT(15.17)</f>
        <v>1.3992770522494389</v>
      </c>
      <c r="E17" s="1"/>
      <c r="F17" s="1"/>
    </row>
    <row r="18" spans="1:6" ht="15.75" customHeight="1" x14ac:dyDescent="0.25">
      <c r="A18" s="7">
        <v>3</v>
      </c>
      <c r="B18" s="2" t="s">
        <v>3</v>
      </c>
      <c r="C18" s="4">
        <v>5.15</v>
      </c>
      <c r="D18" s="3">
        <f t="shared" ref="D18" si="4">C18 / SQRT(13.42)</f>
        <v>1.4058240578639813</v>
      </c>
      <c r="E18" s="1"/>
      <c r="F18" s="1"/>
    </row>
    <row r="19" spans="1:6" ht="15.75" customHeight="1" x14ac:dyDescent="0.25">
      <c r="A19" s="12"/>
      <c r="B19" s="2" t="s">
        <v>4</v>
      </c>
      <c r="C19" s="4">
        <v>5.15</v>
      </c>
      <c r="D19" s="3">
        <f t="shared" ref="D19" si="5">C19 / SQRT(21.45)</f>
        <v>1.1119713065003911</v>
      </c>
      <c r="E19" s="1"/>
      <c r="F19" s="1"/>
    </row>
    <row r="20" spans="1:6" ht="15.75" customHeight="1" x14ac:dyDescent="0.25">
      <c r="A20" s="12"/>
      <c r="B20" s="2" t="s">
        <v>5</v>
      </c>
      <c r="C20" s="4">
        <v>5.15</v>
      </c>
      <c r="D20" s="3">
        <f t="shared" ref="D20" si="6">C20 / SQRT(18.97)</f>
        <v>1.1824248915442301</v>
      </c>
      <c r="E20" s="1"/>
      <c r="F20" s="1"/>
    </row>
    <row r="21" spans="1:6" ht="15.75" customHeight="1" x14ac:dyDescent="0.25">
      <c r="A21" s="8"/>
      <c r="B21" s="2" t="s">
        <v>6</v>
      </c>
      <c r="C21" s="4">
        <v>5.15</v>
      </c>
      <c r="D21" s="3">
        <f t="shared" ref="D21" si="7">C21 / SQRT(15.17)</f>
        <v>1.3222526273549744</v>
      </c>
      <c r="E21" s="1"/>
      <c r="F21" s="1"/>
    </row>
    <row r="22" spans="1:6" ht="15.75" customHeight="1" x14ac:dyDescent="0.25">
      <c r="A22" s="7">
        <v>33</v>
      </c>
      <c r="B22" s="2" t="s">
        <v>3</v>
      </c>
      <c r="C22" s="4">
        <v>4.8</v>
      </c>
      <c r="D22" s="3">
        <f t="shared" ref="D22" si="8">C22 / SQRT(13.42)</f>
        <v>1.3102826170382738</v>
      </c>
      <c r="E22" s="1"/>
      <c r="F22" s="1"/>
    </row>
    <row r="23" spans="1:6" ht="15.75" customHeight="1" x14ac:dyDescent="0.25">
      <c r="A23" s="12"/>
      <c r="B23" s="2" t="s">
        <v>4</v>
      </c>
      <c r="C23" s="4">
        <v>4.8</v>
      </c>
      <c r="D23" s="3">
        <f t="shared" ref="D23" si="9">C23 / SQRT(21.45)</f>
        <v>1.0364004410100731</v>
      </c>
      <c r="E23" s="1"/>
      <c r="F23" s="1"/>
    </row>
    <row r="24" spans="1:6" ht="15.75" customHeight="1" x14ac:dyDescent="0.25">
      <c r="A24" s="12"/>
      <c r="B24" s="2" t="s">
        <v>5</v>
      </c>
      <c r="C24" s="4">
        <v>4.8</v>
      </c>
      <c r="D24" s="3">
        <f t="shared" ref="D24" si="10">C24 / SQRT(18.97)</f>
        <v>1.1020659183324863</v>
      </c>
      <c r="E24" s="1"/>
      <c r="F24" s="1"/>
    </row>
    <row r="25" spans="1:6" ht="15.75" customHeight="1" x14ac:dyDescent="0.25">
      <c r="A25" s="8"/>
      <c r="B25" s="2" t="s">
        <v>6</v>
      </c>
      <c r="C25" s="4">
        <v>4.8</v>
      </c>
      <c r="D25" s="3">
        <f t="shared" ref="D25" si="11">C25 / SQRT(15.17)</f>
        <v>1.2323907983114322</v>
      </c>
      <c r="E25" s="1"/>
      <c r="F25" s="1"/>
    </row>
    <row r="26" spans="1:6" ht="15.75" customHeight="1" x14ac:dyDescent="0.25">
      <c r="A26" s="7">
        <v>30</v>
      </c>
      <c r="B26" s="2" t="s">
        <v>3</v>
      </c>
      <c r="C26" s="4">
        <v>5.46</v>
      </c>
      <c r="D26" s="3">
        <f t="shared" ref="D26" si="12">C26 / SQRT(13.42)</f>
        <v>1.4904464768810364</v>
      </c>
      <c r="E26" s="1"/>
      <c r="F26" s="1"/>
    </row>
    <row r="27" spans="1:6" ht="15.75" customHeight="1" x14ac:dyDescent="0.25">
      <c r="A27" s="12"/>
      <c r="B27" s="2" t="s">
        <v>4</v>
      </c>
      <c r="C27" s="4">
        <v>5.46</v>
      </c>
      <c r="D27" s="3">
        <f t="shared" ref="D27" si="13">C27 / SQRT(21.45)</f>
        <v>1.1789055016489582</v>
      </c>
      <c r="E27" s="1"/>
      <c r="F27" s="1"/>
    </row>
    <row r="28" spans="1:6" ht="15.75" customHeight="1" x14ac:dyDescent="0.25">
      <c r="A28" s="12"/>
      <c r="B28" s="2" t="s">
        <v>5</v>
      </c>
      <c r="C28" s="4">
        <v>5.46</v>
      </c>
      <c r="D28" s="3">
        <f t="shared" ref="D28" si="14">C28 / SQRT(18.97)</f>
        <v>1.2535999821032031</v>
      </c>
      <c r="E28" s="1"/>
      <c r="F28" s="1"/>
    </row>
    <row r="29" spans="1:6" ht="15.75" customHeight="1" x14ac:dyDescent="0.25">
      <c r="A29" s="8"/>
      <c r="B29" s="2" t="s">
        <v>6</v>
      </c>
      <c r="C29" s="4">
        <v>5.46</v>
      </c>
      <c r="D29" s="3">
        <f t="shared" ref="D29" si="15">C29 / SQRT(15.17)</f>
        <v>1.4018445330792542</v>
      </c>
      <c r="E29" s="1"/>
      <c r="F29" s="1"/>
    </row>
    <row r="30" spans="1:6" ht="15.75" customHeight="1" x14ac:dyDescent="0.25">
      <c r="A30" s="7">
        <v>35</v>
      </c>
      <c r="B30" s="2" t="s">
        <v>3</v>
      </c>
      <c r="C30" s="4">
        <v>4.41</v>
      </c>
      <c r="D30" s="3">
        <f t="shared" ref="D30" si="16">C30 / SQRT(13.42)</f>
        <v>1.203822154403914</v>
      </c>
      <c r="E30" s="1"/>
      <c r="F30" s="1"/>
    </row>
    <row r="31" spans="1:6" ht="15.75" customHeight="1" x14ac:dyDescent="0.25">
      <c r="A31" s="12"/>
      <c r="B31" s="2" t="s">
        <v>4</v>
      </c>
      <c r="C31" s="4">
        <v>4.41</v>
      </c>
      <c r="D31" s="3">
        <f t="shared" ref="D31" si="17">C31 / SQRT(21.45)</f>
        <v>0.95219290517800481</v>
      </c>
      <c r="E31" s="1"/>
      <c r="F31" s="1"/>
    </row>
    <row r="32" spans="1:6" ht="15.75" customHeight="1" x14ac:dyDescent="0.25">
      <c r="A32" s="12"/>
      <c r="B32" s="2" t="s">
        <v>5</v>
      </c>
      <c r="C32" s="4">
        <v>4.41</v>
      </c>
      <c r="D32" s="3">
        <f t="shared" ref="D32" si="18">C32 / SQRT(18.97)</f>
        <v>1.0125230624679717</v>
      </c>
      <c r="E32" s="1"/>
      <c r="F32" s="1"/>
    </row>
    <row r="33" spans="1:6" ht="15.75" customHeight="1" x14ac:dyDescent="0.25">
      <c r="A33" s="8"/>
      <c r="B33" s="2" t="s">
        <v>6</v>
      </c>
      <c r="C33" s="4">
        <v>4.41</v>
      </c>
      <c r="D33" s="3">
        <f t="shared" ref="D33" si="19">C33 / SQRT(15.17)</f>
        <v>1.1322590459486284</v>
      </c>
      <c r="E33" s="1"/>
      <c r="F33" s="1"/>
    </row>
    <row r="34" spans="1:6" ht="15.75" customHeight="1" x14ac:dyDescent="0.25">
      <c r="A34" s="7">
        <v>12</v>
      </c>
      <c r="B34" s="2" t="s">
        <v>3</v>
      </c>
      <c r="C34" s="4">
        <v>5</v>
      </c>
      <c r="D34" s="3">
        <f t="shared" ref="D34" si="20">C34 / SQRT(13.42)</f>
        <v>1.3648777260815352</v>
      </c>
      <c r="E34" s="1"/>
      <c r="F34" s="1"/>
    </row>
    <row r="35" spans="1:6" ht="15.75" customHeight="1" x14ac:dyDescent="0.25">
      <c r="A35" s="12"/>
      <c r="B35" s="2" t="s">
        <v>4</v>
      </c>
      <c r="C35" s="4">
        <v>5</v>
      </c>
      <c r="D35" s="3">
        <f t="shared" ref="D35" si="21">C35 / SQRT(21.45)</f>
        <v>1.0795837927188263</v>
      </c>
      <c r="E35" s="1"/>
      <c r="F35" s="1"/>
    </row>
    <row r="36" spans="1:6" ht="15.75" customHeight="1" x14ac:dyDescent="0.25">
      <c r="A36" s="12"/>
      <c r="B36" s="2" t="s">
        <v>5</v>
      </c>
      <c r="C36" s="4">
        <v>5</v>
      </c>
      <c r="D36" s="3">
        <f t="shared" ref="D36" si="22">C36 / SQRT(18.97)</f>
        <v>1.14798533159634</v>
      </c>
      <c r="E36" s="1"/>
      <c r="F36" s="1"/>
    </row>
    <row r="37" spans="1:6" ht="15.75" customHeight="1" x14ac:dyDescent="0.25">
      <c r="A37" s="8"/>
      <c r="B37" s="2" t="s">
        <v>6</v>
      </c>
      <c r="C37" s="4">
        <v>5</v>
      </c>
      <c r="D37" s="3">
        <f t="shared" ref="D37" si="23">C37 / SQRT(15.17)</f>
        <v>1.283740414907742</v>
      </c>
      <c r="E37" s="1"/>
      <c r="F37" s="1"/>
    </row>
    <row r="38" spans="1:6" ht="15.75" customHeight="1" x14ac:dyDescent="0.25">
      <c r="A38" s="7">
        <v>37</v>
      </c>
      <c r="B38" s="2" t="s">
        <v>3</v>
      </c>
      <c r="C38" s="4">
        <v>4.5</v>
      </c>
      <c r="D38" s="3">
        <f t="shared" ref="D38" si="24">C38 / SQRT(13.42)</f>
        <v>1.2283899534733818</v>
      </c>
      <c r="E38" s="1"/>
      <c r="F38" s="1"/>
    </row>
    <row r="39" spans="1:6" ht="15.75" customHeight="1" x14ac:dyDescent="0.25">
      <c r="A39" s="12"/>
      <c r="B39" s="2" t="s">
        <v>4</v>
      </c>
      <c r="C39" s="4">
        <v>4.5</v>
      </c>
      <c r="D39" s="3">
        <f t="shared" ref="D39" si="25">C39 / SQRT(21.45)</f>
        <v>0.97162541344694364</v>
      </c>
      <c r="E39" s="1"/>
      <c r="F39" s="1"/>
    </row>
    <row r="40" spans="1:6" ht="15.75" customHeight="1" x14ac:dyDescent="0.25">
      <c r="A40" s="12"/>
      <c r="B40" s="2" t="s">
        <v>5</v>
      </c>
      <c r="C40" s="4">
        <v>4.5</v>
      </c>
      <c r="D40" s="3">
        <f t="shared" ref="D40" si="26">C40 / SQRT(18.97)</f>
        <v>1.0331867984367058</v>
      </c>
      <c r="E40" s="1"/>
      <c r="F40" s="1"/>
    </row>
    <row r="41" spans="1:6" ht="15.75" customHeight="1" x14ac:dyDescent="0.25">
      <c r="A41" s="8"/>
      <c r="B41" s="2" t="s">
        <v>6</v>
      </c>
      <c r="C41" s="4">
        <v>4.5</v>
      </c>
      <c r="D41" s="3">
        <f t="shared" ref="D41" si="27">C41 / SQRT(15.17)</f>
        <v>1.1553663734169677</v>
      </c>
      <c r="E41" s="1"/>
      <c r="F41" s="1"/>
    </row>
    <row r="42" spans="1:6" ht="15.75" customHeight="1" x14ac:dyDescent="0.25">
      <c r="A42" s="7">
        <v>10</v>
      </c>
      <c r="B42" s="2" t="s">
        <v>3</v>
      </c>
      <c r="C42" s="4">
        <v>4.3</v>
      </c>
      <c r="D42" s="3">
        <f t="shared" ref="D42" si="28">C42 / SQRT(13.42)</f>
        <v>1.1737948444301203</v>
      </c>
      <c r="E42" s="1"/>
      <c r="F42" s="1"/>
    </row>
    <row r="43" spans="1:6" ht="15.75" customHeight="1" x14ac:dyDescent="0.25">
      <c r="A43" s="12"/>
      <c r="B43" s="2" t="s">
        <v>4</v>
      </c>
      <c r="C43" s="4">
        <v>4.3</v>
      </c>
      <c r="D43" s="3">
        <f t="shared" ref="D43" si="29">C43 / SQRT(21.45)</f>
        <v>0.92844206173819055</v>
      </c>
      <c r="E43" s="1"/>
      <c r="F43" s="1"/>
    </row>
    <row r="44" spans="1:6" ht="15.75" customHeight="1" x14ac:dyDescent="0.25">
      <c r="A44" s="12"/>
      <c r="B44" s="2" t="s">
        <v>5</v>
      </c>
      <c r="C44" s="4">
        <v>4.3</v>
      </c>
      <c r="D44" s="3">
        <f t="shared" ref="D44" si="30">C44 / SQRT(18.97)</f>
        <v>0.98726738517285229</v>
      </c>
      <c r="E44" s="1"/>
      <c r="F44" s="1"/>
    </row>
    <row r="45" spans="1:6" ht="15.75" customHeight="1" x14ac:dyDescent="0.25">
      <c r="A45" s="8"/>
      <c r="B45" s="2" t="s">
        <v>6</v>
      </c>
      <c r="C45" s="4">
        <v>4.3</v>
      </c>
      <c r="D45" s="3">
        <f t="shared" ref="D45" si="31">C45 / SQRT(15.17)</f>
        <v>1.104016756820658</v>
      </c>
      <c r="E45" s="1"/>
      <c r="F45" s="1"/>
    </row>
    <row r="46" spans="1:6" ht="15.75" customHeight="1" x14ac:dyDescent="0.25">
      <c r="A46" s="7">
        <v>20</v>
      </c>
      <c r="B46" s="2" t="s">
        <v>3</v>
      </c>
      <c r="C46" s="4">
        <v>5</v>
      </c>
      <c r="D46" s="3">
        <f t="shared" ref="D46" si="32">C46 / SQRT(13.42)</f>
        <v>1.3648777260815352</v>
      </c>
      <c r="E46" s="1"/>
      <c r="F46" s="1"/>
    </row>
    <row r="47" spans="1:6" ht="15.75" customHeight="1" x14ac:dyDescent="0.25">
      <c r="A47" s="12"/>
      <c r="B47" s="2" t="s">
        <v>4</v>
      </c>
      <c r="C47" s="4">
        <v>5</v>
      </c>
      <c r="D47" s="3">
        <f t="shared" ref="D47" si="33">C47 / SQRT(21.45)</f>
        <v>1.0795837927188263</v>
      </c>
      <c r="E47" s="1"/>
      <c r="F47" s="1"/>
    </row>
    <row r="48" spans="1:6" ht="15.75" customHeight="1" x14ac:dyDescent="0.25">
      <c r="A48" s="12"/>
      <c r="B48" s="2" t="s">
        <v>5</v>
      </c>
      <c r="C48" s="4">
        <v>5</v>
      </c>
      <c r="D48" s="3">
        <f t="shared" ref="D48" si="34">C48 / SQRT(18.97)</f>
        <v>1.14798533159634</v>
      </c>
      <c r="E48" s="1"/>
      <c r="F48" s="1"/>
    </row>
    <row r="49" spans="1:6" ht="15.75" customHeight="1" x14ac:dyDescent="0.25">
      <c r="A49" s="8"/>
      <c r="B49" s="2" t="s">
        <v>6</v>
      </c>
      <c r="C49" s="4">
        <v>5</v>
      </c>
      <c r="D49" s="3">
        <f t="shared" ref="D49" si="35">C49 / SQRT(15.17)</f>
        <v>1.283740414907742</v>
      </c>
      <c r="E49" s="1"/>
      <c r="F49" s="1"/>
    </row>
  </sheetData>
  <mergeCells count="12">
    <mergeCell ref="A26:A29"/>
    <mergeCell ref="A30:A33"/>
    <mergeCell ref="A34:A37"/>
    <mergeCell ref="A38:A41"/>
    <mergeCell ref="A42:A45"/>
    <mergeCell ref="A46:A49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Box Plot Data and Cha (2)</vt:lpstr>
      <vt:lpstr>Excel Box Plot Data and Chartin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Nobukhosi Gumbo</cp:lastModifiedBy>
  <dcterms:modified xsi:type="dcterms:W3CDTF">2026-03-18T09:35:45Z</dcterms:modified>
</cp:coreProperties>
</file>